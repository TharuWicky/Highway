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rojects\HighWay_V2\Highway\public\"/>
    </mc:Choice>
  </mc:AlternateContent>
  <xr:revisionPtr revIDLastSave="0" documentId="13_ncr:1_{89A25A7A-6495-4BC8-B6F3-E519B9CF6A07}" xr6:coauthVersionLast="47" xr6:coauthVersionMax="47" xr10:uidLastSave="{00000000-0000-0000-0000-000000000000}"/>
  <bookViews>
    <workbookView xWindow="-110" yWindow="-110" windowWidth="19420" windowHeight="12220" xr2:uid="{AB0A9B64-E9DA-4462-97F3-EC439CFFE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</calcChain>
</file>

<file path=xl/sharedStrings.xml><?xml version="1.0" encoding="utf-8"?>
<sst xmlns="http://schemas.openxmlformats.org/spreadsheetml/2006/main" count="2" uniqueCount="2">
  <si>
    <t>Power</t>
  </si>
  <si>
    <t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</si>
</sst>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Sheet1!$C$2:$C$52</c:f>
              <c:numCache>
                <c:formatCode>0.0000</c:formatCode>
                <c:ptCount val="51"/>
                <c:pt idx="0">
                  <c:v>0</c:v>
                </c:pt>
                <c:pt idx="1">
                  <c:v>4.1392685158225077E-2</c:v>
                </c:pt>
                <c:pt idx="2">
                  <c:v>7.9181246047624818E-2</c:v>
                </c:pt>
                <c:pt idx="3">
                  <c:v>0.11394335230683679</c:v>
                </c:pt>
                <c:pt idx="4">
                  <c:v>0.14612803567823801</c:v>
                </c:pt>
                <c:pt idx="5">
                  <c:v>0.17609125905568124</c:v>
                </c:pt>
                <c:pt idx="6">
                  <c:v>0.20411998265592479</c:v>
                </c:pt>
                <c:pt idx="7">
                  <c:v>0.23044892137827391</c:v>
                </c:pt>
                <c:pt idx="8">
                  <c:v>0.25527250510330607</c:v>
                </c:pt>
                <c:pt idx="9">
                  <c:v>0.27875360095282892</c:v>
                </c:pt>
                <c:pt idx="10">
                  <c:v>0.3010299956639812</c:v>
                </c:pt>
                <c:pt idx="11">
                  <c:v>0.3222192947339193</c:v>
                </c:pt>
                <c:pt idx="12">
                  <c:v>0.34242268082220628</c:v>
                </c:pt>
                <c:pt idx="13">
                  <c:v>0.36172783601759284</c:v>
                </c:pt>
                <c:pt idx="14">
                  <c:v>0.38021124171160603</c:v>
                </c:pt>
                <c:pt idx="15">
                  <c:v>0.3979400086720376</c:v>
                </c:pt>
                <c:pt idx="16">
                  <c:v>0.41497334797081797</c:v>
                </c:pt>
                <c:pt idx="17">
                  <c:v>0.43136376415898736</c:v>
                </c:pt>
                <c:pt idx="18">
                  <c:v>0.44715803134221921</c:v>
                </c:pt>
                <c:pt idx="19">
                  <c:v>0.46239799789895608</c:v>
                </c:pt>
                <c:pt idx="20">
                  <c:v>0.47712125471966244</c:v>
                </c:pt>
                <c:pt idx="21">
                  <c:v>0.49136169383427269</c:v>
                </c:pt>
                <c:pt idx="22">
                  <c:v>0.50514997831990605</c:v>
                </c:pt>
                <c:pt idx="23">
                  <c:v>0.51851393987788741</c:v>
                </c:pt>
                <c:pt idx="24">
                  <c:v>0.53147891704225514</c:v>
                </c:pt>
                <c:pt idx="25">
                  <c:v>0.54406804435027567</c:v>
                </c:pt>
                <c:pt idx="26">
                  <c:v>0.55630250076728727</c:v>
                </c:pt>
                <c:pt idx="27">
                  <c:v>0.56820172406699498</c:v>
                </c:pt>
                <c:pt idx="28">
                  <c:v>0.57978359661681012</c:v>
                </c:pt>
                <c:pt idx="29">
                  <c:v>0.59106460702649921</c:v>
                </c:pt>
                <c:pt idx="30">
                  <c:v>0.6020599913279624</c:v>
                </c:pt>
                <c:pt idx="31">
                  <c:v>0.61278385671973545</c:v>
                </c:pt>
                <c:pt idx="32">
                  <c:v>0.62324929039790045</c:v>
                </c:pt>
                <c:pt idx="33">
                  <c:v>0.63346845557958653</c:v>
                </c:pt>
                <c:pt idx="34">
                  <c:v>0.64345267648618742</c:v>
                </c:pt>
                <c:pt idx="35">
                  <c:v>0.65321251377534373</c:v>
                </c:pt>
                <c:pt idx="36">
                  <c:v>0.66275783168157409</c:v>
                </c:pt>
                <c:pt idx="37">
                  <c:v>0.67209785793571752</c:v>
                </c:pt>
                <c:pt idx="38">
                  <c:v>0.68124123737558717</c:v>
                </c:pt>
                <c:pt idx="39">
                  <c:v>0.69019608002851374</c:v>
                </c:pt>
                <c:pt idx="40">
                  <c:v>0.69897000433601886</c:v>
                </c:pt>
                <c:pt idx="41">
                  <c:v>0.70757017609793638</c:v>
                </c:pt>
                <c:pt idx="42">
                  <c:v>0.71600334363479923</c:v>
                </c:pt>
                <c:pt idx="43">
                  <c:v>0.72427586960078905</c:v>
                </c:pt>
                <c:pt idx="44">
                  <c:v>0.7323937598229685</c:v>
                </c:pt>
                <c:pt idx="45">
                  <c:v>0.74036268949424389</c:v>
                </c:pt>
                <c:pt idx="46">
                  <c:v>0.74818802700620035</c:v>
                </c:pt>
                <c:pt idx="47">
                  <c:v>0.75587485567249146</c:v>
                </c:pt>
                <c:pt idx="48">
                  <c:v>0.76342799356293722</c:v>
                </c:pt>
                <c:pt idx="49">
                  <c:v>0.77085201164214423</c:v>
                </c:pt>
                <c:pt idx="50">
                  <c:v>0.77815125038364363</c:v>
                </c:pt>
              </c:numCache>
            </c:numRef>
          </c:xVal>
          <c:yVal>
            <c:numRef>
              <c:f>Sheet1!$D$2:$D$52</c:f>
              <c:numCache>
                <c:formatCode>0.0000</c:formatCode>
                <c:ptCount val="51"/>
                <c:pt idx="0">
                  <c:v>-1.7613741368804192</c:v>
                </c:pt>
                <c:pt idx="1">
                  <c:v>-1.6348470377575544</c:v>
                </c:pt>
                <c:pt idx="2">
                  <c:v>-1.518126300983587</c:v>
                </c:pt>
                <c:pt idx="3">
                  <c:v>-1.4104446803024389</c:v>
                </c:pt>
                <c:pt idx="4">
                  <c:v>-1.3087597673201994</c:v>
                </c:pt>
                <c:pt idx="5">
                  <c:v>-1.2125064410121031</c:v>
                </c:pt>
                <c:pt idx="6">
                  <c:v>-1.1221482584578018</c:v>
                </c:pt>
                <c:pt idx="7">
                  <c:v>-1.0368304436440636</c:v>
                </c:pt>
                <c:pt idx="8">
                  <c:v>-0.95617451203043302</c:v>
                </c:pt>
                <c:pt idx="9">
                  <c:v>-0.87960811581317455</c:v>
                </c:pt>
                <c:pt idx="10">
                  <c:v>-0.80398769459606012</c:v>
                </c:pt>
                <c:pt idx="11">
                  <c:v>-0.73221463639629281</c:v>
                </c:pt>
                <c:pt idx="12">
                  <c:v>-0.6646012396019515</c:v>
                </c:pt>
                <c:pt idx="13">
                  <c:v>-0.60073273297931107</c:v>
                </c:pt>
                <c:pt idx="14">
                  <c:v>-0.54035854287616736</c:v>
                </c:pt>
                <c:pt idx="15">
                  <c:v>-0.48300725152872909</c:v>
                </c:pt>
                <c:pt idx="16">
                  <c:v>-0.42840083848326155</c:v>
                </c:pt>
                <c:pt idx="17">
                  <c:v>-0.37627389895405622</c:v>
                </c:pt>
                <c:pt idx="18">
                  <c:v>-0.3264525604158845</c:v>
                </c:pt>
                <c:pt idx="19">
                  <c:v>-0.27859397799339325</c:v>
                </c:pt>
                <c:pt idx="20">
                  <c:v>-0.23249510144662855</c:v>
                </c:pt>
                <c:pt idx="21">
                  <c:v>-0.1879634999345772</c:v>
                </c:pt>
                <c:pt idx="22">
                  <c:v>-0.14489211053872172</c:v>
                </c:pt>
                <c:pt idx="23">
                  <c:v>-0.10313144210452506</c:v>
                </c:pt>
                <c:pt idx="24">
                  <c:v>-6.2619619560298143E-2</c:v>
                </c:pt>
                <c:pt idx="25">
                  <c:v>-2.3260619256804102E-2</c:v>
                </c:pt>
                <c:pt idx="26">
                  <c:v>1.5035468749628815E-2</c:v>
                </c:pt>
                <c:pt idx="27">
                  <c:v>5.2306870417266886E-2</c:v>
                </c:pt>
                <c:pt idx="28">
                  <c:v>8.8599642909726689E-2</c:v>
                </c:pt>
                <c:pt idx="29">
                  <c:v>0.12400238356089206</c:v>
                </c:pt>
                <c:pt idx="30">
                  <c:v>0.15854670245633662</c:v>
                </c:pt>
                <c:pt idx="31">
                  <c:v>0.19230766587916573</c:v>
                </c:pt>
                <c:pt idx="32">
                  <c:v>0.22531177891195447</c:v>
                </c:pt>
                <c:pt idx="33">
                  <c:v>0.25757579087715321</c:v>
                </c:pt>
                <c:pt idx="34">
                  <c:v>0.28917082983986181</c:v>
                </c:pt>
                <c:pt idx="35">
                  <c:v>0.3206214559278831</c:v>
                </c:pt>
                <c:pt idx="36">
                  <c:v>0.3516719046689516</c:v>
                </c:pt>
                <c:pt idx="37">
                  <c:v>0.38212649081448113</c:v>
                </c:pt>
                <c:pt idx="38">
                  <c:v>0.41198297262566891</c:v>
                </c:pt>
                <c:pt idx="39">
                  <c:v>0.44125299677837682</c:v>
                </c:pt>
                <c:pt idx="40">
                  <c:v>0.46997820435046861</c:v>
                </c:pt>
                <c:pt idx="41">
                  <c:v>0.49819657996352906</c:v>
                </c:pt>
                <c:pt idx="42">
                  <c:v>0.52588715872587743</c:v>
                </c:pt>
                <c:pt idx="43">
                  <c:v>0.55310349308686713</c:v>
                </c:pt>
                <c:pt idx="44">
                  <c:v>0.57984284748535819</c:v>
                </c:pt>
                <c:pt idx="45">
                  <c:v>0.60610994946413099</c:v>
                </c:pt>
                <c:pt idx="46">
                  <c:v>0.63183790210872781</c:v>
                </c:pt>
                <c:pt idx="47">
                  <c:v>0.65708597214383124</c:v>
                </c:pt>
                <c:pt idx="48">
                  <c:v>0.68189502594368323</c:v>
                </c:pt>
                <c:pt idx="49">
                  <c:v>0.70627483810071745</c:v>
                </c:pt>
                <c:pt idx="50">
                  <c:v>0.73024334845471039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AC-4834-A87A-F3AD992F9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456704"/>
        <c:axId val="940457184"/>
      </c:scatterChart>
      <c:valAx>
        <c:axId val="94045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57184"/>
        <c:crosses val="autoZero"/>
        <c:crossBetween val="midCat"/>
      </c:valAx>
      <c:valAx>
        <c:axId val="94045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5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2371725</xdr:colOff>
      <xdr:row>37</xdr:row>
      <xdr:rowOff>136525</xdr:rowOff>
    </xdr:from>
    <xdr:to>
      <xdr:col>3</xdr:col>
      <xdr:colOff>949325</xdr:colOff>
      <xdr:row>52</xdr:row>
      <xdr:rowOff>117475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3CBF73-0F3E-AA92-DB1E-715F144A8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26C7-A0B2-459C-95FC-3B1CF32CA704}">
  <dimension ref="A1:G56"/>
  <sheetViews>
    <sheetView tabSelected="1" topLeftCell="C1" zoomScale="130" zoomScaleNormal="130" workbookViewId="0">
      <selection activeCell="G2" sqref="G2:G52"/>
    </sheetView>
  </sheetViews>
  <sheetFormatPr defaultRowHeight="14.5" x14ac:dyDescent="0.35"/>
  <cols>
    <col min="1" max="1" width="17.08984375" customWidth="1"/>
    <col min="2" max="3" width="42.90625" bestFit="1" customWidth="1"/>
    <col min="4" max="4" width="42.54296875" bestFit="1" customWidth="1"/>
    <col min="8" max="8" width="57.54296875" bestFit="1" customWidth="1"/>
  </cols>
  <sheetData>
    <row r="1" spans="1:7" x14ac:dyDescent="0.35">
      <c r="A1" t="s">
        <v>1</v>
      </c>
      <c r="B1" t="s">
        <v>0</v>
      </c>
    </row>
    <row r="2" spans="1:7" x14ac:dyDescent="0.35">
      <c r="A2" s="1">
        <v>1</v>
      </c>
      <c r="B2">
        <v>1.7323109999999999E-2</v>
      </c>
      <c r="C2" s="2">
        <f>LOG(A2)</f>
        <v>0</v>
      </c>
      <c r="D2" s="2">
        <f>LOG(B2)</f>
        <v>-1.7613741368804192</v>
      </c>
      <c r="E2">
        <f>POWER(A2,3.2071)/POWER(10,1.7689)</f>
        <v>1.7025504900025031E-2</v>
      </c>
      <c r="F2">
        <f>(B2-E2)</f>
        <v>2.9760509997496867E-4</v>
      </c>
      <c r="G2">
        <f>F2/E2*100</f>
        <v>1.7479957377036799</v>
      </c>
    </row>
    <row r="3" spans="1:7" x14ac:dyDescent="0.35">
      <c r="A3" s="1">
        <v>1.1000000000000001</v>
      </c>
      <c r="B3">
        <v>2.3182110000000002E-2</v>
      </c>
      <c r="C3" s="2">
        <f t="shared" ref="C3:C52" si="0">LOG(A3)</f>
        <v>4.1392685158225077E-2</v>
      </c>
      <c r="D3" s="2">
        <f t="shared" ref="D3:D52" si="1">LOG(B3)</f>
        <v>-1.6348470377575544</v>
      </c>
      <c r="E3">
        <f t="shared" ref="E3:E52" si="2">POWER(A3,3.2071)/POWER(10,1.7689)</f>
        <v>2.3112689267238758E-2</v>
      </c>
      <c r="F3">
        <f t="shared" ref="F3:F52" si="3">(B3-E3)</f>
        <v>6.9420732761244636E-5</v>
      </c>
      <c r="G3">
        <f t="shared" ref="G3:G52" si="4">F3/E3*100</f>
        <v>0.30035766049797391</v>
      </c>
    </row>
    <row r="4" spans="1:7" x14ac:dyDescent="0.35">
      <c r="A4" s="1">
        <v>1.2</v>
      </c>
      <c r="B4">
        <v>3.0330089999999997E-2</v>
      </c>
      <c r="C4" s="2">
        <f t="shared" si="0"/>
        <v>7.9181246047624818E-2</v>
      </c>
      <c r="D4" s="2">
        <f t="shared" si="1"/>
        <v>-1.518126300983587</v>
      </c>
      <c r="E4">
        <f t="shared" si="2"/>
        <v>3.0552177900403651E-2</v>
      </c>
      <c r="F4">
        <f t="shared" si="3"/>
        <v>-2.220879004036537E-4</v>
      </c>
      <c r="G4">
        <f t="shared" si="4"/>
        <v>-0.7269134826578747</v>
      </c>
    </row>
    <row r="5" spans="1:7" x14ac:dyDescent="0.35">
      <c r="A5" s="1">
        <v>1.3</v>
      </c>
      <c r="B5">
        <v>3.8864700000000002E-2</v>
      </c>
      <c r="C5" s="2">
        <f t="shared" si="0"/>
        <v>0.11394335230683679</v>
      </c>
      <c r="D5" s="2">
        <f t="shared" si="1"/>
        <v>-1.4104446803024389</v>
      </c>
      <c r="E5">
        <f t="shared" si="2"/>
        <v>3.9493691115614286E-2</v>
      </c>
      <c r="F5">
        <f t="shared" si="3"/>
        <v>-6.2899111561428439E-4</v>
      </c>
      <c r="G5">
        <f t="shared" si="4"/>
        <v>-1.5926369449058804</v>
      </c>
    </row>
    <row r="6" spans="1:7" x14ac:dyDescent="0.35">
      <c r="A6" s="1">
        <v>1.4</v>
      </c>
      <c r="B6">
        <v>4.9117950000000007E-2</v>
      </c>
      <c r="C6" s="2">
        <f t="shared" si="0"/>
        <v>0.14612803567823801</v>
      </c>
      <c r="D6" s="2">
        <f t="shared" si="1"/>
        <v>-1.3087597673201994</v>
      </c>
      <c r="E6">
        <f t="shared" si="2"/>
        <v>5.0089560746854278E-2</v>
      </c>
      <c r="F6">
        <f t="shared" si="3"/>
        <v>-9.7161074685427062E-4</v>
      </c>
      <c r="G6">
        <f t="shared" si="4"/>
        <v>-1.9397469899260191</v>
      </c>
    </row>
    <row r="7" spans="1:7" x14ac:dyDescent="0.35">
      <c r="A7" s="1">
        <v>1.5</v>
      </c>
      <c r="B7">
        <v>6.1304669999999999E-2</v>
      </c>
      <c r="C7" s="2">
        <f t="shared" si="0"/>
        <v>0.17609125905568124</v>
      </c>
      <c r="D7" s="2">
        <f t="shared" si="1"/>
        <v>-1.2125064410121031</v>
      </c>
      <c r="E7">
        <f t="shared" si="2"/>
        <v>6.2494568952003171E-2</v>
      </c>
      <c r="F7">
        <f t="shared" si="3"/>
        <v>-1.1898989520031725E-3</v>
      </c>
      <c r="G7">
        <f t="shared" si="4"/>
        <v>-1.9040037749792849</v>
      </c>
    </row>
    <row r="8" spans="1:7" x14ac:dyDescent="0.35">
      <c r="A8" s="1">
        <v>1.6</v>
      </c>
      <c r="B8">
        <v>7.5483450000000007E-2</v>
      </c>
      <c r="C8" s="2">
        <f t="shared" si="0"/>
        <v>0.20411998265592479</v>
      </c>
      <c r="D8" s="2">
        <f t="shared" si="1"/>
        <v>-1.1221482584578018</v>
      </c>
      <c r="E8">
        <f t="shared" si="2"/>
        <v>7.6865807930293753E-2</v>
      </c>
      <c r="F8">
        <f t="shared" si="3"/>
        <v>-1.3823579302937455E-3</v>
      </c>
      <c r="G8">
        <f t="shared" si="4"/>
        <v>-1.7984042157565634</v>
      </c>
    </row>
    <row r="9" spans="1:7" x14ac:dyDescent="0.35">
      <c r="A9" s="1">
        <v>1.7</v>
      </c>
      <c r="B9">
        <v>9.1869119999999999E-2</v>
      </c>
      <c r="C9" s="2">
        <f t="shared" si="0"/>
        <v>0.23044892137827391</v>
      </c>
      <c r="D9" s="2">
        <f t="shared" si="1"/>
        <v>-1.0368304436440636</v>
      </c>
      <c r="E9">
        <f t="shared" si="2"/>
        <v>9.3362556604139071E-2</v>
      </c>
      <c r="F9">
        <f t="shared" si="3"/>
        <v>-1.4934366041390729E-3</v>
      </c>
      <c r="G9">
        <f t="shared" si="4"/>
        <v>-1.5996097991096185</v>
      </c>
    </row>
    <row r="10" spans="1:7" x14ac:dyDescent="0.35">
      <c r="A10" s="1">
        <v>1.8</v>
      </c>
      <c r="B10">
        <v>0.11061791999999999</v>
      </c>
      <c r="C10" s="2">
        <f t="shared" si="0"/>
        <v>0.25527250510330607</v>
      </c>
      <c r="D10" s="2">
        <f t="shared" si="1"/>
        <v>-0.95617451203043302</v>
      </c>
      <c r="E10">
        <f t="shared" si="2"/>
        <v>0.11214617126731065</v>
      </c>
      <c r="F10">
        <f t="shared" si="3"/>
        <v>-1.5282512673106541E-3</v>
      </c>
      <c r="G10">
        <f t="shared" si="4"/>
        <v>-1.3627315583230457</v>
      </c>
    </row>
    <row r="11" spans="1:7" x14ac:dyDescent="0.35">
      <c r="A11" s="1">
        <v>1.9</v>
      </c>
      <c r="B11">
        <v>0.13194468000000001</v>
      </c>
      <c r="C11" s="2">
        <f t="shared" si="0"/>
        <v>0.27875360095282892</v>
      </c>
      <c r="D11" s="2">
        <f t="shared" si="1"/>
        <v>-0.87960811581317455</v>
      </c>
      <c r="E11">
        <f t="shared" si="2"/>
        <v>0.13337998787899921</v>
      </c>
      <c r="F11">
        <f t="shared" si="3"/>
        <v>-1.4353078789992035E-3</v>
      </c>
      <c r="G11">
        <f t="shared" si="4"/>
        <v>-1.0761043705456761</v>
      </c>
    </row>
    <row r="12" spans="1:7" x14ac:dyDescent="0.35">
      <c r="A12" s="1">
        <v>2</v>
      </c>
      <c r="B12">
        <v>0.15704073000000002</v>
      </c>
      <c r="C12" s="2">
        <f t="shared" si="0"/>
        <v>0.3010299956639812</v>
      </c>
      <c r="D12" s="2">
        <f t="shared" si="1"/>
        <v>-0.80398769459606012</v>
      </c>
      <c r="E12">
        <f t="shared" si="2"/>
        <v>0.15722923417802262</v>
      </c>
      <c r="F12">
        <f t="shared" si="3"/>
        <v>-1.8850417802260266E-4</v>
      </c>
      <c r="G12">
        <f t="shared" si="4"/>
        <v>-0.119891303298704</v>
      </c>
    </row>
    <row r="13" spans="1:7" x14ac:dyDescent="0.35">
      <c r="A13" s="1">
        <v>2.1</v>
      </c>
      <c r="B13">
        <v>0.18526158000000004</v>
      </c>
      <c r="C13" s="2">
        <f t="shared" si="0"/>
        <v>0.3222192947339193</v>
      </c>
      <c r="D13" s="2">
        <f t="shared" si="1"/>
        <v>-0.73221463639629281</v>
      </c>
      <c r="E13">
        <f t="shared" si="2"/>
        <v>0.18386095015985301</v>
      </c>
      <c r="F13">
        <f t="shared" si="3"/>
        <v>1.4006298401470219E-3</v>
      </c>
      <c r="G13">
        <f t="shared" si="4"/>
        <v>0.76178755680816479</v>
      </c>
    </row>
    <row r="14" spans="1:7" x14ac:dyDescent="0.35">
      <c r="A14" s="1">
        <v>2.2000000000000002</v>
      </c>
      <c r="B14">
        <v>0.21647051999999997</v>
      </c>
      <c r="C14" s="2">
        <f t="shared" si="0"/>
        <v>0.34242268082220628</v>
      </c>
      <c r="D14" s="2">
        <f t="shared" si="1"/>
        <v>-0.6646012396019515</v>
      </c>
      <c r="E14">
        <f t="shared" si="2"/>
        <v>0.21344391573827631</v>
      </c>
      <c r="F14">
        <f t="shared" si="3"/>
        <v>3.0266042617236588E-3</v>
      </c>
      <c r="G14">
        <f t="shared" si="4"/>
        <v>1.4179857276582497</v>
      </c>
    </row>
    <row r="15" spans="1:7" x14ac:dyDescent="0.35">
      <c r="A15" s="1">
        <v>2.2999999999999998</v>
      </c>
      <c r="B15">
        <v>0.25076520000000002</v>
      </c>
      <c r="C15" s="2">
        <f t="shared" si="0"/>
        <v>0.36172783601759284</v>
      </c>
      <c r="D15" s="2">
        <f t="shared" si="1"/>
        <v>-0.60073273297931107</v>
      </c>
      <c r="E15">
        <f t="shared" si="2"/>
        <v>0.24614858462826028</v>
      </c>
      <c r="F15">
        <f t="shared" si="3"/>
        <v>4.6166153717397407E-3</v>
      </c>
      <c r="G15">
        <f t="shared" si="4"/>
        <v>1.8755400843404677</v>
      </c>
    </row>
    <row r="16" spans="1:7" x14ac:dyDescent="0.35">
      <c r="A16" s="1">
        <v>2.4</v>
      </c>
      <c r="B16">
        <v>0.28816514999999998</v>
      </c>
      <c r="C16" s="2">
        <f t="shared" si="0"/>
        <v>0.38021124171160603</v>
      </c>
      <c r="D16" s="2">
        <f t="shared" si="1"/>
        <v>-0.54035854287616736</v>
      </c>
      <c r="E16">
        <f t="shared" si="2"/>
        <v>0.28214702365414784</v>
      </c>
      <c r="F16">
        <f t="shared" si="3"/>
        <v>6.0181263458521372E-3</v>
      </c>
      <c r="G16">
        <f t="shared" si="4"/>
        <v>2.1329753076640916</v>
      </c>
    </row>
    <row r="17" spans="1:7" x14ac:dyDescent="0.35">
      <c r="A17" s="1">
        <v>2.5</v>
      </c>
      <c r="B17">
        <v>0.32884614000000006</v>
      </c>
      <c r="C17" s="2">
        <f t="shared" si="0"/>
        <v>0.3979400086720376</v>
      </c>
      <c r="D17" s="2">
        <f t="shared" si="1"/>
        <v>-0.48300725152872909</v>
      </c>
      <c r="E17">
        <f t="shared" si="2"/>
        <v>0.32161285681958751</v>
      </c>
      <c r="F17">
        <f t="shared" si="3"/>
        <v>7.233283180412553E-3</v>
      </c>
      <c r="G17">
        <f t="shared" si="4"/>
        <v>2.2490653053929828</v>
      </c>
    </row>
    <row r="18" spans="1:7" x14ac:dyDescent="0.35">
      <c r="A18" s="1">
        <v>2.6</v>
      </c>
      <c r="B18">
        <v>0.37290582000000005</v>
      </c>
      <c r="C18" s="2">
        <f t="shared" si="0"/>
        <v>0.41497334797081797</v>
      </c>
      <c r="D18" s="2">
        <f t="shared" si="1"/>
        <v>-0.42840083848326155</v>
      </c>
      <c r="E18">
        <f t="shared" si="2"/>
        <v>0.36472121358129478</v>
      </c>
      <c r="F18">
        <f t="shared" si="3"/>
        <v>8.1846064187052758E-3</v>
      </c>
      <c r="G18">
        <f t="shared" si="4"/>
        <v>2.2440719415079928</v>
      </c>
    </row>
    <row r="19" spans="1:7" x14ac:dyDescent="0.35">
      <c r="A19" s="1">
        <v>2.7</v>
      </c>
      <c r="B19">
        <v>0.42046137</v>
      </c>
      <c r="C19" s="2">
        <f t="shared" si="0"/>
        <v>0.43136376415898736</v>
      </c>
      <c r="D19" s="2">
        <f t="shared" si="1"/>
        <v>-0.37627389895405622</v>
      </c>
      <c r="E19">
        <f t="shared" si="2"/>
        <v>0.41164868085396972</v>
      </c>
      <c r="F19">
        <f t="shared" si="3"/>
        <v>8.8126891460302836E-3</v>
      </c>
      <c r="G19">
        <f t="shared" si="4"/>
        <v>2.1408277387767316</v>
      </c>
    </row>
    <row r="20" spans="1:7" x14ac:dyDescent="0.35">
      <c r="A20" s="1">
        <v>2.8</v>
      </c>
      <c r="B20">
        <v>0.47157138000000004</v>
      </c>
      <c r="C20" s="2">
        <f t="shared" si="0"/>
        <v>0.44715803134221921</v>
      </c>
      <c r="D20" s="2">
        <f t="shared" si="1"/>
        <v>-0.3264525604158845</v>
      </c>
      <c r="E20">
        <f t="shared" si="2"/>
        <v>0.46257325834312607</v>
      </c>
      <c r="F20">
        <f t="shared" si="3"/>
        <v>8.9981216568739697E-3</v>
      </c>
      <c r="G20">
        <f t="shared" si="4"/>
        <v>1.9452316999698613</v>
      </c>
    </row>
    <row r="21" spans="1:7" x14ac:dyDescent="0.35">
      <c r="A21" s="1">
        <v>2.9</v>
      </c>
      <c r="B21">
        <v>0.52650927000000003</v>
      </c>
      <c r="C21" s="2">
        <f t="shared" si="0"/>
        <v>0.46239799789895608</v>
      </c>
      <c r="D21" s="2">
        <f t="shared" si="1"/>
        <v>-0.27859397799339325</v>
      </c>
      <c r="E21">
        <f t="shared" si="2"/>
        <v>0.51767431685959153</v>
      </c>
      <c r="F21">
        <f t="shared" si="3"/>
        <v>8.8349531404084969E-3</v>
      </c>
      <c r="G21">
        <f t="shared" si="4"/>
        <v>1.7066624425188155</v>
      </c>
    </row>
    <row r="22" spans="1:7" x14ac:dyDescent="0.35">
      <c r="A22" s="1">
        <v>3</v>
      </c>
      <c r="B22">
        <v>0.58547034000000009</v>
      </c>
      <c r="C22" s="2">
        <f t="shared" si="0"/>
        <v>0.47712125471966244</v>
      </c>
      <c r="D22" s="2">
        <f t="shared" si="1"/>
        <v>-0.23249510144662855</v>
      </c>
      <c r="E22">
        <f t="shared" si="2"/>
        <v>0.57713255931661922</v>
      </c>
      <c r="F22">
        <f t="shared" si="3"/>
        <v>8.3377806833808688E-3</v>
      </c>
      <c r="G22">
        <f t="shared" si="4"/>
        <v>1.4446907471748964</v>
      </c>
    </row>
    <row r="23" spans="1:7" x14ac:dyDescent="0.35">
      <c r="A23" s="1">
        <v>3.1</v>
      </c>
      <c r="B23">
        <v>0.64868895000000015</v>
      </c>
      <c r="C23" s="2">
        <f t="shared" si="0"/>
        <v>0.49136169383427269</v>
      </c>
      <c r="D23" s="2">
        <f t="shared" si="1"/>
        <v>-0.1879634999345772</v>
      </c>
      <c r="E23">
        <f t="shared" si="2"/>
        <v>0.64112998414990019</v>
      </c>
      <c r="F23">
        <f t="shared" si="3"/>
        <v>7.5589658500999635E-3</v>
      </c>
      <c r="G23">
        <f t="shared" si="4"/>
        <v>1.1790067594674576</v>
      </c>
    </row>
    <row r="24" spans="1:7" x14ac:dyDescent="0.35">
      <c r="A24" s="1">
        <v>3.2</v>
      </c>
      <c r="B24">
        <v>0.71632134000000003</v>
      </c>
      <c r="C24" s="2">
        <f t="shared" si="0"/>
        <v>0.50514997831990605</v>
      </c>
      <c r="D24" s="2">
        <f t="shared" si="1"/>
        <v>-0.14489211053872172</v>
      </c>
      <c r="E24">
        <f t="shared" si="2"/>
        <v>0.70984985093377706</v>
      </c>
      <c r="F24">
        <f t="shared" si="3"/>
        <v>6.4714890662229685E-3</v>
      </c>
      <c r="G24">
        <f t="shared" si="4"/>
        <v>0.91167013104391048</v>
      </c>
    </row>
    <row r="25" spans="1:7" x14ac:dyDescent="0.35">
      <c r="A25" s="1">
        <v>3.3</v>
      </c>
      <c r="B25">
        <v>0.78862140000000014</v>
      </c>
      <c r="C25" s="2">
        <f t="shared" si="0"/>
        <v>0.51851393987788741</v>
      </c>
      <c r="D25" s="2">
        <f t="shared" si="1"/>
        <v>-0.10313144210452506</v>
      </c>
      <c r="E25">
        <f t="shared" si="2"/>
        <v>0.78347664799483552</v>
      </c>
      <c r="F25">
        <f t="shared" si="3"/>
        <v>5.1447520051646212E-3</v>
      </c>
      <c r="G25">
        <f t="shared" si="4"/>
        <v>0.65665671316837182</v>
      </c>
    </row>
    <row r="26" spans="1:7" x14ac:dyDescent="0.35">
      <c r="A26" s="1">
        <v>3.4</v>
      </c>
      <c r="B26">
        <v>0.86572584000000008</v>
      </c>
      <c r="C26" s="2">
        <f t="shared" si="0"/>
        <v>0.53147891704225514</v>
      </c>
      <c r="D26" s="2">
        <f t="shared" si="1"/>
        <v>-6.2619619560298143E-2</v>
      </c>
      <c r="E26">
        <f t="shared" si="2"/>
        <v>0.86219606184774522</v>
      </c>
      <c r="F26">
        <f t="shared" si="3"/>
        <v>3.5297781522548588E-3</v>
      </c>
      <c r="G26">
        <f t="shared" si="4"/>
        <v>0.40939390800397563</v>
      </c>
    </row>
    <row r="27" spans="1:7" x14ac:dyDescent="0.35">
      <c r="A27" s="1">
        <v>3.5</v>
      </c>
      <c r="B27">
        <v>0.94784949000000007</v>
      </c>
      <c r="C27" s="2">
        <f t="shared" si="0"/>
        <v>0.54406804435027567</v>
      </c>
      <c r="D27" s="2">
        <f t="shared" si="1"/>
        <v>-2.3260619256804102E-2</v>
      </c>
      <c r="E27">
        <f t="shared" si="2"/>
        <v>0.94619494829844342</v>
      </c>
      <c r="F27">
        <f t="shared" si="3"/>
        <v>1.6545417015566555E-3</v>
      </c>
      <c r="G27">
        <f t="shared" si="4"/>
        <v>0.17486266488021762</v>
      </c>
    </row>
    <row r="28" spans="1:7" x14ac:dyDescent="0.35">
      <c r="A28" s="1">
        <v>3.6</v>
      </c>
      <c r="B28">
        <v>1.0352267099999999</v>
      </c>
      <c r="C28" s="2">
        <f t="shared" si="0"/>
        <v>0.55630250076728727</v>
      </c>
      <c r="D28" s="2">
        <f t="shared" si="1"/>
        <v>1.5035468749628815E-2</v>
      </c>
      <c r="E28">
        <f t="shared" si="2"/>
        <v>1.0356613050771069</v>
      </c>
      <c r="F28">
        <f t="shared" si="3"/>
        <v>-4.3459507710696954E-4</v>
      </c>
      <c r="G28">
        <f t="shared" si="4"/>
        <v>-4.1963050562617392E-2</v>
      </c>
    </row>
    <row r="29" spans="1:7" x14ac:dyDescent="0.35">
      <c r="A29" s="1">
        <v>3.7</v>
      </c>
      <c r="B29">
        <v>1.12799421</v>
      </c>
      <c r="C29" s="2">
        <f t="shared" si="0"/>
        <v>0.56820172406699498</v>
      </c>
      <c r="D29" s="2">
        <f t="shared" si="1"/>
        <v>5.2306870417266886E-2</v>
      </c>
      <c r="E29">
        <f t="shared" si="2"/>
        <v>1.1307842458783492</v>
      </c>
      <c r="F29">
        <f t="shared" si="3"/>
        <v>-2.7900358783492507E-3</v>
      </c>
      <c r="G29">
        <f t="shared" si="4"/>
        <v>-0.2467345904860975</v>
      </c>
    </row>
    <row r="30" spans="1:7" x14ac:dyDescent="0.35">
      <c r="A30" s="1">
        <v>3.8</v>
      </c>
      <c r="B30">
        <v>1.2263082300000001</v>
      </c>
      <c r="C30" s="2">
        <f t="shared" si="0"/>
        <v>0.57978359661681012</v>
      </c>
      <c r="D30" s="2">
        <f t="shared" si="1"/>
        <v>8.8599642909726689E-2</v>
      </c>
      <c r="E30">
        <f t="shared" si="2"/>
        <v>1.2317539756990201</v>
      </c>
      <c r="F30">
        <f t="shared" si="3"/>
        <v>-5.4457456990200104E-3</v>
      </c>
      <c r="G30">
        <f t="shared" si="4"/>
        <v>-0.442113101029737</v>
      </c>
    </row>
    <row r="31" spans="1:7" x14ac:dyDescent="0.35">
      <c r="A31" s="1">
        <v>3.9</v>
      </c>
      <c r="B31">
        <v>1.33046172</v>
      </c>
      <c r="C31" s="2">
        <f t="shared" si="0"/>
        <v>0.59106460702649921</v>
      </c>
      <c r="D31" s="2">
        <f t="shared" si="1"/>
        <v>0.12400238356089206</v>
      </c>
      <c r="E31">
        <f t="shared" si="2"/>
        <v>1.3387617673753083</v>
      </c>
      <c r="F31">
        <f t="shared" si="3"/>
        <v>-8.300047375308317E-3</v>
      </c>
      <c r="G31">
        <f t="shared" si="4"/>
        <v>-0.61997941512632715</v>
      </c>
    </row>
    <row r="32" spans="1:7" x14ac:dyDescent="0.35">
      <c r="A32" s="1">
        <v>4</v>
      </c>
      <c r="B32">
        <v>1.4406109199999999</v>
      </c>
      <c r="C32" s="2">
        <f t="shared" si="0"/>
        <v>0.6020599913279624</v>
      </c>
      <c r="D32" s="2">
        <f t="shared" si="1"/>
        <v>0.15854670245633662</v>
      </c>
      <c r="E32">
        <f t="shared" si="2"/>
        <v>1.4519999392306497</v>
      </c>
      <c r="F32">
        <f t="shared" si="3"/>
        <v>-1.1389019230649833E-2</v>
      </c>
      <c r="G32">
        <f t="shared" si="4"/>
        <v>-0.78436774843698465</v>
      </c>
    </row>
    <row r="33" spans="1:7" x14ac:dyDescent="0.35">
      <c r="A33" s="1">
        <v>4.0999999999999996</v>
      </c>
      <c r="B33">
        <v>1.55706831</v>
      </c>
      <c r="C33" s="2">
        <f t="shared" si="0"/>
        <v>0.61278385671973545</v>
      </c>
      <c r="D33" s="2">
        <f t="shared" si="1"/>
        <v>0.19230766587916573</v>
      </c>
      <c r="E33">
        <f t="shared" si="2"/>
        <v>1.5716618337546244</v>
      </c>
      <c r="F33">
        <f t="shared" si="3"/>
        <v>-1.4593523754624416E-2</v>
      </c>
      <c r="G33">
        <f t="shared" si="4"/>
        <v>-0.92854095208007881</v>
      </c>
    </row>
    <row r="34" spans="1:7" x14ac:dyDescent="0.35">
      <c r="A34" s="1">
        <v>4.2</v>
      </c>
      <c r="B34">
        <v>1.6800096600000003</v>
      </c>
      <c r="C34" s="2">
        <f t="shared" si="0"/>
        <v>0.62324929039790045</v>
      </c>
      <c r="D34" s="2">
        <f t="shared" si="1"/>
        <v>0.22531177891195447</v>
      </c>
      <c r="E34">
        <f t="shared" si="2"/>
        <v>1.6979417972406092</v>
      </c>
      <c r="F34">
        <f t="shared" si="3"/>
        <v>-1.7932137240608936E-2</v>
      </c>
      <c r="G34">
        <f t="shared" si="4"/>
        <v>-1.0561102429866056</v>
      </c>
    </row>
    <row r="35" spans="1:7" x14ac:dyDescent="0.35">
      <c r="A35" s="1">
        <v>4.3</v>
      </c>
      <c r="B35">
        <v>1.8095716800000003</v>
      </c>
      <c r="C35" s="2">
        <f t="shared" si="0"/>
        <v>0.63346845557958653</v>
      </c>
      <c r="D35" s="2">
        <f t="shared" si="1"/>
        <v>0.25757579087715321</v>
      </c>
      <c r="E35">
        <f t="shared" si="2"/>
        <v>1.8310351603166384</v>
      </c>
      <c r="F35">
        <f t="shared" si="3"/>
        <v>-2.1463480316638028E-2</v>
      </c>
      <c r="G35">
        <f t="shared" si="4"/>
        <v>-1.172204705939474</v>
      </c>
    </row>
    <row r="36" spans="1:7" x14ac:dyDescent="0.35">
      <c r="A36" s="1">
        <v>4.4000000000000004</v>
      </c>
      <c r="B36">
        <v>1.9461254399999999</v>
      </c>
      <c r="C36" s="2">
        <f t="shared" si="0"/>
        <v>0.64345267648618742</v>
      </c>
      <c r="D36" s="2">
        <f t="shared" si="1"/>
        <v>0.28917082983986181</v>
      </c>
      <c r="E36">
        <f t="shared" si="2"/>
        <v>1.9711382193099138</v>
      </c>
      <c r="F36">
        <f t="shared" si="3"/>
        <v>-2.5012779309913968E-2</v>
      </c>
      <c r="G36">
        <f t="shared" si="4"/>
        <v>-1.2689510590825448</v>
      </c>
    </row>
    <row r="37" spans="1:7" x14ac:dyDescent="0.35">
      <c r="A37" s="1">
        <v>4.5</v>
      </c>
      <c r="B37">
        <v>2.0922879600000002</v>
      </c>
      <c r="C37" s="2">
        <f t="shared" si="0"/>
        <v>0.65321251377534373</v>
      </c>
      <c r="D37" s="2">
        <f t="shared" si="1"/>
        <v>0.3206214559278831</v>
      </c>
      <c r="E37">
        <f t="shared" si="2"/>
        <v>2.1184482183906033</v>
      </c>
      <c r="F37">
        <f t="shared" si="3"/>
        <v>-2.6160258390603097E-2</v>
      </c>
      <c r="G37">
        <f t="shared" si="4"/>
        <v>-1.2348783493267157</v>
      </c>
    </row>
    <row r="38" spans="1:7" x14ac:dyDescent="0.35">
      <c r="A38" s="1">
        <v>4.5999999999999996</v>
      </c>
      <c r="B38">
        <v>2.2473561600000003</v>
      </c>
      <c r="C38" s="2">
        <f t="shared" si="0"/>
        <v>0.66275783168157409</v>
      </c>
      <c r="D38" s="2">
        <f t="shared" si="1"/>
        <v>0.3516719046689516</v>
      </c>
      <c r="E38">
        <f t="shared" si="2"/>
        <v>2.2731633324453511</v>
      </c>
      <c r="F38">
        <f t="shared" si="3"/>
        <v>-2.5807172445350801E-2</v>
      </c>
      <c r="G38">
        <f t="shared" si="4"/>
        <v>-1.1352977622416944</v>
      </c>
    </row>
    <row r="39" spans="1:7" x14ac:dyDescent="0.35">
      <c r="A39" s="1">
        <v>4.7</v>
      </c>
      <c r="B39">
        <v>2.4106074300000002</v>
      </c>
      <c r="C39" s="2">
        <f t="shared" si="0"/>
        <v>0.67209785793571752</v>
      </c>
      <c r="D39" s="2">
        <f t="shared" si="1"/>
        <v>0.38212649081448113</v>
      </c>
      <c r="E39">
        <f t="shared" si="2"/>
        <v>2.4354826506350618</v>
      </c>
      <c r="F39">
        <f t="shared" si="3"/>
        <v>-2.4875220635061535E-2</v>
      </c>
      <c r="G39">
        <f t="shared" si="4"/>
        <v>-1.0213671868520691</v>
      </c>
    </row>
    <row r="40" spans="1:7" x14ac:dyDescent="0.35">
      <c r="A40" s="1">
        <v>4.8</v>
      </c>
      <c r="B40">
        <v>2.5821589500000002</v>
      </c>
      <c r="C40" s="2">
        <f t="shared" si="0"/>
        <v>0.68124123737558717</v>
      </c>
      <c r="D40" s="2">
        <f t="shared" si="1"/>
        <v>0.41198297262566891</v>
      </c>
      <c r="E40">
        <f t="shared" si="2"/>
        <v>2.6056061605952645</v>
      </c>
      <c r="F40">
        <f t="shared" si="3"/>
        <v>-2.3447210595264334E-2</v>
      </c>
      <c r="G40">
        <f t="shared" si="4"/>
        <v>-0.89987546659421824</v>
      </c>
    </row>
    <row r="41" spans="1:7" x14ac:dyDescent="0.35">
      <c r="A41" s="1">
        <v>4.9000000000000004</v>
      </c>
      <c r="B41">
        <v>2.7621864899999999</v>
      </c>
      <c r="C41" s="2">
        <f t="shared" si="0"/>
        <v>0.69019608002851374</v>
      </c>
      <c r="D41" s="2">
        <f t="shared" si="1"/>
        <v>0.44125299677837682</v>
      </c>
      <c r="E41">
        <f t="shared" si="2"/>
        <v>2.7837347332408249</v>
      </c>
      <c r="F41">
        <f t="shared" si="3"/>
        <v>-2.1548243240824938E-2</v>
      </c>
      <c r="G41">
        <f t="shared" si="4"/>
        <v>-0.77407674601733567</v>
      </c>
    </row>
    <row r="42" spans="1:7" x14ac:dyDescent="0.35">
      <c r="A42" s="1">
        <v>5</v>
      </c>
      <c r="B42">
        <v>2.9510611200000003</v>
      </c>
      <c r="C42" s="2">
        <f t="shared" si="0"/>
        <v>0.69897000433601886</v>
      </c>
      <c r="D42" s="2">
        <f t="shared" si="1"/>
        <v>0.46997820435046861</v>
      </c>
      <c r="E42">
        <f t="shared" si="2"/>
        <v>2.9700701081396668</v>
      </c>
      <c r="F42">
        <f t="shared" si="3"/>
        <v>-1.900898813966645E-2</v>
      </c>
      <c r="G42">
        <f t="shared" si="4"/>
        <v>-0.64001816278919155</v>
      </c>
    </row>
    <row r="43" spans="1:7" x14ac:dyDescent="0.35">
      <c r="A43" s="1">
        <v>5.0999999999999996</v>
      </c>
      <c r="B43">
        <v>3.1491734399999998</v>
      </c>
      <c r="C43" s="2">
        <f t="shared" si="0"/>
        <v>0.70757017609793638</v>
      </c>
      <c r="D43" s="2">
        <f t="shared" si="1"/>
        <v>0.49819657996352906</v>
      </c>
      <c r="E43">
        <f t="shared" si="2"/>
        <v>3.1648148794230644</v>
      </c>
      <c r="F43">
        <f t="shared" si="3"/>
        <v>-1.5641439423064618E-2</v>
      </c>
      <c r="G43">
        <f t="shared" si="4"/>
        <v>-0.49422920515072916</v>
      </c>
    </row>
    <row r="44" spans="1:7" x14ac:dyDescent="0.35">
      <c r="A44" s="1">
        <v>5.2</v>
      </c>
      <c r="B44">
        <v>3.3565039200000002</v>
      </c>
      <c r="C44" s="2">
        <f t="shared" si="0"/>
        <v>0.71600334363479923</v>
      </c>
      <c r="D44" s="2">
        <f t="shared" si="1"/>
        <v>0.52588715872587743</v>
      </c>
      <c r="E44">
        <f t="shared" si="2"/>
        <v>3.3681724822023726</v>
      </c>
      <c r="F44">
        <f t="shared" si="3"/>
        <v>-1.1668562202372446E-2</v>
      </c>
      <c r="G44">
        <f t="shared" si="4"/>
        <v>-0.34643600540144054</v>
      </c>
    </row>
    <row r="45" spans="1:7" x14ac:dyDescent="0.35">
      <c r="A45" s="1">
        <v>5.3</v>
      </c>
      <c r="B45">
        <v>3.5735798700000001</v>
      </c>
      <c r="C45" s="2">
        <f t="shared" si="0"/>
        <v>0.72427586960078905</v>
      </c>
      <c r="D45" s="2">
        <f t="shared" si="1"/>
        <v>0.55310349308686713</v>
      </c>
      <c r="E45">
        <f t="shared" si="2"/>
        <v>3.5803471794644768</v>
      </c>
      <c r="F45">
        <f t="shared" si="3"/>
        <v>-6.7673094644766785E-3</v>
      </c>
      <c r="G45">
        <f t="shared" si="4"/>
        <v>-0.18901266065177749</v>
      </c>
    </row>
    <row r="46" spans="1:7" x14ac:dyDescent="0.35">
      <c r="A46" s="1">
        <v>5.4</v>
      </c>
      <c r="B46">
        <v>3.8005184699999996</v>
      </c>
      <c r="C46" s="2">
        <f t="shared" si="0"/>
        <v>0.7323937598229685</v>
      </c>
      <c r="D46" s="2">
        <f t="shared" si="1"/>
        <v>0.57984284748535819</v>
      </c>
      <c r="E46">
        <f t="shared" si="2"/>
        <v>3.8015440494201003</v>
      </c>
      <c r="F46">
        <f t="shared" si="3"/>
        <v>-1.0255794201006196E-3</v>
      </c>
      <c r="G46">
        <f t="shared" si="4"/>
        <v>-2.6977970181801911E-2</v>
      </c>
    </row>
    <row r="47" spans="1:7" x14ac:dyDescent="0.35">
      <c r="A47" s="1">
        <v>5.5</v>
      </c>
      <c r="B47">
        <v>4.037475960000001</v>
      </c>
      <c r="C47" s="2">
        <f t="shared" si="0"/>
        <v>0.74036268949424389</v>
      </c>
      <c r="D47" s="2">
        <f t="shared" si="1"/>
        <v>0.60610994946413099</v>
      </c>
      <c r="E47">
        <f t="shared" si="2"/>
        <v>4.0319689732811055</v>
      </c>
      <c r="F47">
        <f t="shared" si="3"/>
        <v>5.5069867188954902E-3</v>
      </c>
      <c r="G47">
        <f t="shared" si="4"/>
        <v>0.13658306290025976</v>
      </c>
    </row>
    <row r="48" spans="1:7" x14ac:dyDescent="0.35">
      <c r="A48" s="1">
        <v>5.6</v>
      </c>
      <c r="B48">
        <v>4.28388597</v>
      </c>
      <c r="C48" s="2">
        <f t="shared" si="0"/>
        <v>0.74818802700620035</v>
      </c>
      <c r="D48" s="2">
        <f t="shared" si="1"/>
        <v>0.63183790210872781</v>
      </c>
      <c r="E48">
        <f t="shared" si="2"/>
        <v>4.2718286234445495</v>
      </c>
      <c r="F48">
        <f t="shared" si="3"/>
        <v>1.2057346555450543E-2</v>
      </c>
      <c r="G48">
        <f t="shared" si="4"/>
        <v>0.28225258123131852</v>
      </c>
    </row>
    <row r="49" spans="1:7" x14ac:dyDescent="0.35">
      <c r="A49" s="1">
        <v>5.7</v>
      </c>
      <c r="B49">
        <v>4.5403148700000004</v>
      </c>
      <c r="C49" s="2">
        <f t="shared" si="0"/>
        <v>0.75587485567249146</v>
      </c>
      <c r="D49" s="2">
        <f t="shared" si="1"/>
        <v>0.65708597214383124</v>
      </c>
      <c r="E49">
        <f t="shared" si="2"/>
        <v>4.5213304520627373</v>
      </c>
      <c r="F49">
        <f t="shared" si="3"/>
        <v>1.8984417937263132E-2</v>
      </c>
      <c r="G49">
        <f t="shared" si="4"/>
        <v>0.41988565398050021</v>
      </c>
    </row>
    <row r="50" spans="1:7" x14ac:dyDescent="0.35">
      <c r="A50" s="1">
        <v>5.8</v>
      </c>
      <c r="B50">
        <v>4.8072313800000002</v>
      </c>
      <c r="C50" s="2">
        <f t="shared" si="0"/>
        <v>0.76342799356293722</v>
      </c>
      <c r="D50" s="2">
        <f t="shared" si="1"/>
        <v>0.68189502594368323</v>
      </c>
      <c r="E50">
        <f t="shared" si="2"/>
        <v>4.7806826799800204</v>
      </c>
      <c r="F50">
        <f t="shared" si="3"/>
        <v>2.6548700019979776E-2</v>
      </c>
      <c r="G50">
        <f t="shared" si="4"/>
        <v>0.55533282163146469</v>
      </c>
    </row>
    <row r="51" spans="1:7" x14ac:dyDescent="0.35">
      <c r="A51" s="1">
        <v>5.9</v>
      </c>
      <c r="B51">
        <v>5.0848112699999994</v>
      </c>
      <c r="C51" s="2">
        <f t="shared" si="0"/>
        <v>0.77085201164214423</v>
      </c>
      <c r="D51" s="2">
        <f t="shared" si="1"/>
        <v>0.70627483810071745</v>
      </c>
      <c r="E51">
        <f t="shared" si="2"/>
        <v>5.050094286018358</v>
      </c>
      <c r="F51">
        <f t="shared" si="3"/>
        <v>3.4716983981641469E-2</v>
      </c>
      <c r="G51">
        <f t="shared" si="4"/>
        <v>0.68745219426414617</v>
      </c>
    </row>
    <row r="52" spans="1:7" x14ac:dyDescent="0.35">
      <c r="A52" s="1">
        <v>6</v>
      </c>
      <c r="B52">
        <v>5.3733279600000001</v>
      </c>
      <c r="C52" s="2">
        <f t="shared" si="0"/>
        <v>0.77815125038364363</v>
      </c>
      <c r="D52" s="2">
        <f t="shared" si="1"/>
        <v>0.73024334845471039</v>
      </c>
      <c r="E52">
        <f t="shared" si="2"/>
        <v>5.3297749965947174</v>
      </c>
      <c r="F52">
        <f t="shared" si="3"/>
        <v>4.3552963405282696E-2</v>
      </c>
      <c r="G52">
        <f t="shared" si="4"/>
        <v>0.81716326548699358</v>
      </c>
    </row>
    <row r="53" spans="1:7" x14ac:dyDescent="0.35">
      <c r="B53" s="3"/>
    </row>
    <row r="54" spans="1:7" x14ac:dyDescent="0.35">
      <c r="B54" s="3"/>
    </row>
    <row r="55" spans="1:7" x14ac:dyDescent="0.35">
      <c r="B55" s="3"/>
    </row>
    <row r="56" spans="1:7" x14ac:dyDescent="0.35">
      <c r="B5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Marapana</dc:creator>
  <cp:lastModifiedBy>Praveen Sumanasekara</cp:lastModifiedBy>
  <dcterms:created xsi:type="dcterms:W3CDTF">2025-07-27T16:05:10Z</dcterms:created>
  <dcterms:modified xsi:type="dcterms:W3CDTF">2025-08-19T17:32:03Z</dcterms:modified>
</cp:coreProperties>
</file>